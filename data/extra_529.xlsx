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8_{830F41A1-F51C-4253-97AB-06B4B83035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華強-國泰世華敦南(20260529)" sheetId="1" r:id="rId1"/>
    <sheet name="華強-華南銀行敦和" sheetId="3" r:id="rId2"/>
  </sheets>
  <definedNames>
    <definedName name="證券名稱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3" l="1"/>
  <c r="F7" i="3"/>
  <c r="F8" i="3"/>
  <c r="F9" i="3" s="1"/>
  <c r="F10" i="3" s="1"/>
  <c r="F11" i="3" s="1"/>
  <c r="F12" i="3" s="1"/>
  <c r="F13" i="3" s="1"/>
  <c r="F5" i="3"/>
  <c r="F4" i="3"/>
  <c r="E2" i="1" l="1"/>
</calcChain>
</file>

<file path=xl/sharedStrings.xml><?xml version="1.0" encoding="utf-8"?>
<sst xmlns="http://schemas.openxmlformats.org/spreadsheetml/2006/main" count="196" uniqueCount="61">
  <si>
    <t>053035008493 活期存款</t>
  </si>
  <si>
    <t>代收稅費</t>
  </si>
  <si>
    <t>−</t>
  </si>
  <si>
    <t xml:space="preserve">轉帳    </t>
  </si>
  <si>
    <t>匯出匯款</t>
  </si>
  <si>
    <t>轉帳</t>
  </si>
  <si>
    <t>前期餘額</t>
  </si>
  <si>
    <t>1/2</t>
  </si>
  <si>
    <t>勞工退休金提繳費(自動扣帳)</t>
  </si>
  <si>
    <t>1/20</t>
  </si>
  <si>
    <t>瓦斯費114/11/6-115/1/6(自動扣帳)</t>
  </si>
  <si>
    <t>2/3</t>
  </si>
  <si>
    <t>2/6</t>
  </si>
  <si>
    <t>水費114/11/21-115/1/20(自動扣帳)</t>
  </si>
  <si>
    <t>2/23</t>
  </si>
  <si>
    <t>電費114/11/17-11501/14 (自動扣帳)</t>
  </si>
  <si>
    <t>3/3</t>
  </si>
  <si>
    <t>勞工退休金提繳費114/12(自動扣帳)</t>
  </si>
  <si>
    <t>3/20</t>
  </si>
  <si>
    <t>瓦斯費115/1/7-115/3/5(自動扣帳)</t>
  </si>
  <si>
    <t>4/1</t>
  </si>
  <si>
    <t>勞工退休金提繳費115/1(自動扣帳)</t>
  </si>
  <si>
    <t>4/15</t>
  </si>
  <si>
    <t>水費115/1/21-115/3/25(自動扣帳)</t>
  </si>
  <si>
    <t>4/17</t>
  </si>
  <si>
    <t>電費 115/1/15-115/3/15(自動扣帳)</t>
  </si>
  <si>
    <t>日期</t>
    <phoneticPr fontId="18" type="noConversion"/>
  </si>
  <si>
    <t>前期餘額</t>
    <phoneticPr fontId="18" type="noConversion"/>
  </si>
  <si>
    <t>異動內容</t>
    <phoneticPr fontId="18" type="noConversion"/>
  </si>
  <si>
    <t>資金異動內容</t>
    <phoneticPr fontId="18" type="noConversion"/>
  </si>
  <si>
    <r>
      <rPr>
        <sz val="10"/>
        <color rgb="FF000000"/>
        <rFont val="新細明體"/>
        <family val="1"/>
        <charset val="136"/>
      </rPr>
      <t>華強華南銀行</t>
    </r>
    <r>
      <rPr>
        <sz val="10"/>
        <color rgb="FF000000"/>
        <rFont val="Segoe UI Symbol"/>
        <family val="1"/>
      </rPr>
      <t>─</t>
    </r>
    <r>
      <rPr>
        <sz val="10"/>
        <color rgb="FF000000"/>
        <rFont val="新細明體"/>
        <family val="1"/>
        <charset val="136"/>
      </rPr>
      <t>活存</t>
    </r>
    <phoneticPr fontId="18" type="noConversion"/>
  </si>
  <si>
    <t>支出</t>
    <phoneticPr fontId="18" type="noConversion"/>
  </si>
  <si>
    <t>餘額</t>
    <phoneticPr fontId="18" type="noConversion"/>
  </si>
  <si>
    <t>收入</t>
    <phoneticPr fontId="18" type="noConversion"/>
  </si>
  <si>
    <t>中華電信
Y075299              電話費   08013 103       CHTP</t>
    <phoneticPr fontId="18" type="noConversion"/>
  </si>
  <si>
    <t>代收稅費
綜合所得稅</t>
    <phoneticPr fontId="18" type="noConversion"/>
  </si>
  <si>
    <t xml:space="preserve">代收稅費
綜合所得稅       </t>
    <phoneticPr fontId="18" type="noConversion"/>
  </si>
  <si>
    <t xml:space="preserve">2026/01/05
</t>
    <phoneticPr fontId="18" type="noConversion"/>
  </si>
  <si>
    <t xml:space="preserve">2026/01/06
</t>
    <phoneticPr fontId="18" type="noConversion"/>
  </si>
  <si>
    <t xml:space="preserve">2026/01/09
</t>
    <phoneticPr fontId="18" type="noConversion"/>
  </si>
  <si>
    <t xml:space="preserve">2026/01/23
</t>
    <phoneticPr fontId="18" type="noConversion"/>
  </si>
  <si>
    <t xml:space="preserve">2026/02/04
</t>
    <phoneticPr fontId="18" type="noConversion"/>
  </si>
  <si>
    <t xml:space="preserve">2026/02/05
</t>
    <phoneticPr fontId="18" type="noConversion"/>
  </si>
  <si>
    <t xml:space="preserve">2026/02/06
</t>
    <phoneticPr fontId="18" type="noConversion"/>
  </si>
  <si>
    <t xml:space="preserve">2026/02/25
</t>
    <phoneticPr fontId="18" type="noConversion"/>
  </si>
  <si>
    <t xml:space="preserve">2026/02/26
</t>
    <phoneticPr fontId="18" type="noConversion"/>
  </si>
  <si>
    <t xml:space="preserve">2026/03/10
</t>
    <phoneticPr fontId="18" type="noConversion"/>
  </si>
  <si>
    <t xml:space="preserve">2026/03/13
</t>
    <phoneticPr fontId="18" type="noConversion"/>
  </si>
  <si>
    <t xml:space="preserve">2026/03/20
</t>
    <phoneticPr fontId="18" type="noConversion"/>
  </si>
  <si>
    <t xml:space="preserve">2026/03/25
</t>
    <phoneticPr fontId="18" type="noConversion"/>
  </si>
  <si>
    <t xml:space="preserve">2026/03/26
</t>
    <phoneticPr fontId="18" type="noConversion"/>
  </si>
  <si>
    <t xml:space="preserve">2026/04/02
</t>
    <phoneticPr fontId="18" type="noConversion"/>
  </si>
  <si>
    <t xml:space="preserve">2026/04/10
</t>
    <phoneticPr fontId="18" type="noConversion"/>
  </si>
  <si>
    <t xml:space="preserve">2026/04/13
</t>
    <phoneticPr fontId="18" type="noConversion"/>
  </si>
  <si>
    <t xml:space="preserve">2026/04/24
</t>
    <phoneticPr fontId="18" type="noConversion"/>
  </si>
  <si>
    <t xml:space="preserve">2026/04/30
</t>
    <phoneticPr fontId="18" type="noConversion"/>
  </si>
  <si>
    <t xml:space="preserve">2026/05/04
</t>
    <phoneticPr fontId="18" type="noConversion"/>
  </si>
  <si>
    <t xml:space="preserve">2026/05/07
</t>
    <phoneticPr fontId="18" type="noConversion"/>
  </si>
  <si>
    <t xml:space="preserve">2026/05/08
</t>
    <phoneticPr fontId="18" type="noConversion"/>
  </si>
  <si>
    <t xml:space="preserve">代收稅費
房屋稅                 </t>
    <phoneticPr fontId="18" type="noConversion"/>
  </si>
  <si>
    <t xml:space="preserve">代收稅費
全民健保             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</si>
</sst>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81" formatCode="_-* #,##0_-;\-* #,##0_-;_-* &quot;-&quot;??_-;_-@_-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sz val="10"/>
      <color rgb="FF000000"/>
      <name val="Segoe UI Symbol"/>
      <family val="1"/>
    </font>
    <font>
      <sz val="10"/>
      <color rgb="FF000000"/>
      <name val="Times New Roman"/>
      <family val="1"/>
      <charset val="136"/>
    </font>
    <font>
      <sz val="10"/>
      <color rgb="FF000000"/>
      <name val="細明體"/>
      <family val="1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gray0625">
        <fgColor indexed="19"/>
        <bgColor indexed="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</borders>
  <cellStyleXfs count="4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176" fontId="19" fillId="0" borderId="0" applyFont="0" applyFill="0" applyBorder="0" applyAlignment="0" applyProtection="0"/>
    <xf numFmtId="0" fontId="20" fillId="0" borderId="0"/>
    <xf numFmtId="176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0" fontId="20" fillId="0" borderId="0" xfId="44"/>
    <xf numFmtId="0" fontId="20" fillId="0" borderId="0" xfId="44" applyAlignment="1">
      <alignment vertical="center"/>
    </xf>
    <xf numFmtId="40" fontId="20" fillId="0" borderId="0" xfId="44" applyNumberFormat="1" applyAlignment="1">
      <alignment vertical="center"/>
    </xf>
    <xf numFmtId="0" fontId="21" fillId="0" borderId="10" xfId="44" applyFont="1" applyBorder="1" applyAlignment="1">
      <alignment vertical="center"/>
    </xf>
    <xf numFmtId="40" fontId="21" fillId="0" borderId="10" xfId="44" applyNumberFormat="1" applyFont="1" applyBorder="1" applyAlignment="1">
      <alignment vertical="center"/>
    </xf>
    <xf numFmtId="40" fontId="20" fillId="0" borderId="10" xfId="44" applyNumberFormat="1" applyBorder="1" applyAlignment="1">
      <alignment vertical="center"/>
    </xf>
    <xf numFmtId="0" fontId="23" fillId="33" borderId="10" xfId="44" applyFont="1" applyFill="1" applyBorder="1" applyAlignment="1">
      <alignment vertical="center"/>
    </xf>
    <xf numFmtId="0" fontId="21" fillId="0" borderId="0" xfId="44" applyFont="1" applyAlignment="1">
      <alignment vertical="center"/>
    </xf>
    <xf numFmtId="40" fontId="24" fillId="0" borderId="0" xfId="44" applyNumberFormat="1" applyFont="1" applyAlignment="1">
      <alignment vertical="center"/>
    </xf>
    <xf numFmtId="40" fontId="20" fillId="0" borderId="0" xfId="44" applyNumberFormat="1" applyAlignment="1">
      <alignment horizontal="right" vertical="center"/>
    </xf>
    <xf numFmtId="14" fontId="0" fillId="0" borderId="0" xfId="0" applyNumberFormat="1" applyAlignment="1">
      <alignment horizontal="left" vertical="center" wrapText="1"/>
    </xf>
    <xf numFmtId="181" fontId="0" fillId="0" borderId="0" xfId="45" applyNumberFormat="1" applyFont="1">
      <alignment vertical="center"/>
    </xf>
    <xf numFmtId="0" fontId="0" fillId="0" borderId="0" xfId="0" applyAlignment="1">
      <alignment horizontal="center" vertical="center"/>
    </xf>
    <xf numFmtId="40" fontId="20" fillId="0" borderId="0" xfId="44" applyNumberFormat="1" applyAlignment="1">
      <alignment horizontal="right" vertical="center"/>
    </xf>
  </cellXfs>
  <cellStyles count="46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千分位" xfId="45" builtinId="3"/>
    <cellStyle name="千分位 2" xfId="43" xr:uid="{00000000-0005-0000-0000-000015000000}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一般 2" xfId="42" xr:uid="{00000000-0005-0000-0000-000013000000}"/>
    <cellStyle name="一般 3" xfId="44" xr:uid="{00000000-0005-0000-0000-000014000000}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59"/>
  <sheetViews>
    <sheetView topLeftCell="A35" workbookViewId="0">
      <selection activeCell="I43" sqref="I43"/>
    </sheetView>
  </sheetViews>
  <sheetFormatPr defaultRowHeight="16.5" x14ac:dyDescent="0.25"/>
  <cols>
    <col min="1" max="1" width="23.25" bestFit="1" customWidth="1"/>
    <col min="2" max="2" width="10" bestFit="1" customWidth="1"/>
    <col min="3" max="3" width="11.875" bestFit="1" customWidth="1"/>
    <col min="5" max="5" width="13.625" bestFit="1" customWidth="1"/>
  </cols>
  <sheetData>
    <row r="1" spans="1:5" x14ac:dyDescent="0.25">
      <c r="A1" t="s">
        <v>0</v>
      </c>
    </row>
    <row r="2" spans="1:5" x14ac:dyDescent="0.25">
      <c r="A2" t="s">
        <v>26</v>
      </c>
      <c r="B2" s="15" t="s">
        <v>28</v>
      </c>
      <c r="D2" t="s">
        <v>27</v>
      </c>
      <c r="E2" s="2">
        <f>E4+C4</f>
        <v>314907</v>
      </c>
    </row>
    <row r="3" spans="1:5" x14ac:dyDescent="0.25">
      <c r="B3" s="15"/>
      <c r="C3" t="s">
        <v>31</v>
      </c>
      <c r="D3" t="s">
        <v>33</v>
      </c>
      <c r="E3" s="2"/>
    </row>
    <row r="4" spans="1:5" ht="82.5" x14ac:dyDescent="0.25">
      <c r="A4" s="1" t="s">
        <v>37</v>
      </c>
      <c r="B4" s="1" t="s">
        <v>34</v>
      </c>
      <c r="C4" s="2">
        <v>2398</v>
      </c>
      <c r="D4" t="s">
        <v>2</v>
      </c>
      <c r="E4" s="2">
        <v>312509</v>
      </c>
    </row>
    <row r="5" spans="1:5" ht="33" x14ac:dyDescent="0.25">
      <c r="A5" s="1" t="s">
        <v>38</v>
      </c>
      <c r="B5" t="s">
        <v>4</v>
      </c>
      <c r="C5" s="2">
        <v>31520</v>
      </c>
      <c r="D5" t="s">
        <v>2</v>
      </c>
      <c r="E5" s="2">
        <v>280989</v>
      </c>
    </row>
    <row r="6" spans="1:5" ht="33" x14ac:dyDescent="0.25">
      <c r="A6" s="1" t="s">
        <v>39</v>
      </c>
      <c r="B6" t="s">
        <v>5</v>
      </c>
      <c r="C6" t="s">
        <v>2</v>
      </c>
      <c r="D6" s="2">
        <v>800000</v>
      </c>
      <c r="E6" s="2">
        <v>1080989</v>
      </c>
    </row>
    <row r="7" spans="1:5" ht="33" x14ac:dyDescent="0.25">
      <c r="A7" s="1" t="s">
        <v>39</v>
      </c>
      <c r="B7" t="s">
        <v>4</v>
      </c>
      <c r="C7" s="2">
        <v>25010</v>
      </c>
      <c r="D7" t="s">
        <v>2</v>
      </c>
      <c r="E7" s="2">
        <v>1055979</v>
      </c>
    </row>
    <row r="8" spans="1:5" ht="33" x14ac:dyDescent="0.25">
      <c r="A8" s="1" t="s">
        <v>39</v>
      </c>
      <c r="B8" t="s">
        <v>5</v>
      </c>
      <c r="C8">
        <v>709</v>
      </c>
      <c r="D8" t="s">
        <v>2</v>
      </c>
      <c r="E8" s="2">
        <v>1055270</v>
      </c>
    </row>
    <row r="9" spans="1:5" ht="33" x14ac:dyDescent="0.25">
      <c r="A9" s="1" t="s">
        <v>39</v>
      </c>
      <c r="B9" t="s">
        <v>5</v>
      </c>
      <c r="C9" s="2">
        <v>11242</v>
      </c>
      <c r="D9" t="s">
        <v>2</v>
      </c>
      <c r="E9" s="2">
        <v>1044028</v>
      </c>
    </row>
    <row r="10" spans="1:5" ht="33" x14ac:dyDescent="0.25">
      <c r="A10" s="1" t="s">
        <v>39</v>
      </c>
      <c r="B10" t="s">
        <v>5</v>
      </c>
      <c r="C10" s="2">
        <v>390721</v>
      </c>
      <c r="D10" t="s">
        <v>2</v>
      </c>
      <c r="E10" s="2">
        <v>653307</v>
      </c>
    </row>
    <row r="11" spans="1:5" ht="33" x14ac:dyDescent="0.25">
      <c r="A11" s="1" t="s">
        <v>39</v>
      </c>
      <c r="B11" t="s">
        <v>1</v>
      </c>
      <c r="C11" s="2">
        <v>1325</v>
      </c>
      <c r="D11" t="s">
        <v>2</v>
      </c>
      <c r="E11" s="2">
        <v>651982</v>
      </c>
    </row>
    <row r="12" spans="1:5" ht="33" x14ac:dyDescent="0.25">
      <c r="A12" s="1" t="s">
        <v>40</v>
      </c>
      <c r="B12" t="s">
        <v>4</v>
      </c>
      <c r="C12" s="2">
        <v>7210</v>
      </c>
      <c r="D12" t="s">
        <v>2</v>
      </c>
      <c r="E12" s="2">
        <v>644772</v>
      </c>
    </row>
    <row r="13" spans="1:5" ht="33" x14ac:dyDescent="0.25">
      <c r="A13" s="1" t="s">
        <v>40</v>
      </c>
      <c r="B13" t="s">
        <v>5</v>
      </c>
      <c r="C13" s="2">
        <v>74892</v>
      </c>
      <c r="D13" t="s">
        <v>2</v>
      </c>
      <c r="E13" s="2">
        <v>569880</v>
      </c>
    </row>
    <row r="14" spans="1:5" ht="33" x14ac:dyDescent="0.25">
      <c r="A14" s="1" t="s">
        <v>40</v>
      </c>
      <c r="B14" t="s">
        <v>5</v>
      </c>
      <c r="C14" s="2">
        <v>9990</v>
      </c>
      <c r="D14" t="s">
        <v>2</v>
      </c>
      <c r="E14" s="2">
        <v>559890</v>
      </c>
    </row>
    <row r="15" spans="1:5" ht="33" x14ac:dyDescent="0.25">
      <c r="A15" s="1" t="s">
        <v>40</v>
      </c>
      <c r="B15" t="s">
        <v>5</v>
      </c>
      <c r="C15" s="2">
        <v>25765</v>
      </c>
      <c r="D15" t="s">
        <v>2</v>
      </c>
      <c r="E15" s="2">
        <v>534125</v>
      </c>
    </row>
    <row r="16" spans="1:5" ht="33" x14ac:dyDescent="0.25">
      <c r="A16" s="1" t="s">
        <v>41</v>
      </c>
      <c r="B16" t="s">
        <v>4</v>
      </c>
      <c r="C16" s="2">
        <v>21010</v>
      </c>
      <c r="D16" t="s">
        <v>2</v>
      </c>
      <c r="E16" s="2">
        <v>513115</v>
      </c>
    </row>
    <row r="17" spans="1:5" ht="82.5" x14ac:dyDescent="0.25">
      <c r="A17" s="1" t="s">
        <v>42</v>
      </c>
      <c r="B17" s="1" t="s">
        <v>34</v>
      </c>
      <c r="C17" s="2">
        <v>2398</v>
      </c>
      <c r="D17" t="s">
        <v>2</v>
      </c>
      <c r="E17" s="2">
        <v>510717</v>
      </c>
    </row>
    <row r="18" spans="1:5" ht="33" x14ac:dyDescent="0.25">
      <c r="A18" s="1" t="s">
        <v>43</v>
      </c>
      <c r="B18" t="s">
        <v>4</v>
      </c>
      <c r="C18" s="2">
        <v>25010</v>
      </c>
      <c r="D18" t="s">
        <v>2</v>
      </c>
      <c r="E18" s="2">
        <v>485707</v>
      </c>
    </row>
    <row r="19" spans="1:5" ht="33" x14ac:dyDescent="0.25">
      <c r="A19" s="1" t="s">
        <v>43</v>
      </c>
      <c r="B19" t="s">
        <v>5</v>
      </c>
      <c r="C19" s="2">
        <v>7475</v>
      </c>
      <c r="D19" t="s">
        <v>2</v>
      </c>
      <c r="E19" s="2">
        <v>468489</v>
      </c>
    </row>
    <row r="20" spans="1:5" ht="33" x14ac:dyDescent="0.25">
      <c r="A20" s="1" t="s">
        <v>43</v>
      </c>
      <c r="B20" t="s">
        <v>5</v>
      </c>
      <c r="C20" s="2">
        <v>9743</v>
      </c>
      <c r="D20" t="s">
        <v>2</v>
      </c>
      <c r="E20" s="2">
        <v>475964</v>
      </c>
    </row>
    <row r="21" spans="1:5" ht="33" x14ac:dyDescent="0.25">
      <c r="A21" s="1" t="s">
        <v>44</v>
      </c>
      <c r="B21" t="s">
        <v>5</v>
      </c>
      <c r="C21" s="2">
        <v>121344</v>
      </c>
      <c r="D21" t="s">
        <v>2</v>
      </c>
      <c r="E21" s="2">
        <v>347145</v>
      </c>
    </row>
    <row r="22" spans="1:5" ht="33" x14ac:dyDescent="0.25">
      <c r="A22" s="1" t="s">
        <v>44</v>
      </c>
      <c r="B22" t="s">
        <v>5</v>
      </c>
      <c r="C22" s="2">
        <v>25175</v>
      </c>
      <c r="D22" t="s">
        <v>2</v>
      </c>
      <c r="E22" s="2">
        <v>321970</v>
      </c>
    </row>
    <row r="23" spans="1:5" ht="33" x14ac:dyDescent="0.25">
      <c r="A23" s="1" t="s">
        <v>44</v>
      </c>
      <c r="B23" t="s">
        <v>5</v>
      </c>
      <c r="C23" s="2">
        <v>2310</v>
      </c>
      <c r="D23" t="s">
        <v>2</v>
      </c>
      <c r="E23" s="2">
        <v>319660</v>
      </c>
    </row>
    <row r="24" spans="1:5" ht="33" x14ac:dyDescent="0.25">
      <c r="A24" s="1" t="s">
        <v>45</v>
      </c>
      <c r="B24" t="s">
        <v>5</v>
      </c>
      <c r="C24" t="s">
        <v>2</v>
      </c>
      <c r="D24" s="2">
        <v>1000000</v>
      </c>
      <c r="E24" s="2">
        <v>1319660</v>
      </c>
    </row>
    <row r="25" spans="1:5" ht="33" x14ac:dyDescent="0.25">
      <c r="A25" s="1" t="s">
        <v>46</v>
      </c>
      <c r="B25" t="s">
        <v>5</v>
      </c>
      <c r="C25" s="2">
        <v>49286</v>
      </c>
      <c r="D25" t="s">
        <v>2</v>
      </c>
      <c r="E25" s="2">
        <v>1270374</v>
      </c>
    </row>
    <row r="26" spans="1:5" ht="33" x14ac:dyDescent="0.25">
      <c r="A26" s="1" t="s">
        <v>46</v>
      </c>
      <c r="B26" t="s">
        <v>5</v>
      </c>
      <c r="C26">
        <v>84</v>
      </c>
      <c r="D26" t="s">
        <v>2</v>
      </c>
      <c r="E26" s="2">
        <v>1270290</v>
      </c>
    </row>
    <row r="27" spans="1:5" ht="33" x14ac:dyDescent="0.25">
      <c r="A27" s="1" t="s">
        <v>46</v>
      </c>
      <c r="B27" t="s">
        <v>5</v>
      </c>
      <c r="C27" s="2">
        <v>279733</v>
      </c>
      <c r="D27" t="s">
        <v>2</v>
      </c>
      <c r="E27" s="2">
        <v>990557</v>
      </c>
    </row>
    <row r="28" spans="1:5" ht="33" x14ac:dyDescent="0.25">
      <c r="A28" s="1" t="s">
        <v>46</v>
      </c>
      <c r="B28" t="s">
        <v>5</v>
      </c>
      <c r="C28" s="2">
        <v>6028</v>
      </c>
      <c r="D28" t="s">
        <v>2</v>
      </c>
      <c r="E28" s="2">
        <v>984529</v>
      </c>
    </row>
    <row r="29" spans="1:5" ht="49.5" x14ac:dyDescent="0.25">
      <c r="A29" s="1" t="s">
        <v>46</v>
      </c>
      <c r="B29" s="1" t="s">
        <v>35</v>
      </c>
      <c r="C29" s="2">
        <v>1325</v>
      </c>
      <c r="D29" t="s">
        <v>2</v>
      </c>
      <c r="E29" s="2">
        <v>983204</v>
      </c>
    </row>
    <row r="30" spans="1:5" ht="82.5" x14ac:dyDescent="0.25">
      <c r="A30" s="1" t="s">
        <v>47</v>
      </c>
      <c r="B30" s="1" t="s">
        <v>34</v>
      </c>
      <c r="C30" s="2">
        <v>2398</v>
      </c>
      <c r="D30" t="s">
        <v>2</v>
      </c>
      <c r="E30" s="2">
        <v>980806</v>
      </c>
    </row>
    <row r="31" spans="1:5" ht="33" x14ac:dyDescent="0.25">
      <c r="A31" s="1" t="s">
        <v>48</v>
      </c>
      <c r="B31" t="s">
        <v>4</v>
      </c>
      <c r="C31" s="2">
        <v>25010</v>
      </c>
      <c r="D31" t="s">
        <v>2</v>
      </c>
      <c r="E31" s="2">
        <v>955796</v>
      </c>
    </row>
    <row r="32" spans="1:5" ht="33" x14ac:dyDescent="0.25">
      <c r="A32" s="1" t="s">
        <v>49</v>
      </c>
      <c r="B32" t="s">
        <v>5</v>
      </c>
      <c r="C32" s="2">
        <v>87414</v>
      </c>
      <c r="D32" t="s">
        <v>2</v>
      </c>
      <c r="E32" s="2">
        <v>868382</v>
      </c>
    </row>
    <row r="33" spans="1:5" ht="33" x14ac:dyDescent="0.25">
      <c r="A33" s="1" t="s">
        <v>49</v>
      </c>
      <c r="B33" t="s">
        <v>5</v>
      </c>
      <c r="C33" s="2">
        <v>25175</v>
      </c>
      <c r="D33" t="s">
        <v>2</v>
      </c>
      <c r="E33" s="2">
        <v>843207</v>
      </c>
    </row>
    <row r="34" spans="1:5" ht="33" x14ac:dyDescent="0.25">
      <c r="A34" s="1" t="s">
        <v>49</v>
      </c>
      <c r="B34" t="s">
        <v>5</v>
      </c>
      <c r="C34" s="2">
        <v>61519</v>
      </c>
      <c r="D34" t="s">
        <v>2</v>
      </c>
      <c r="E34" s="2">
        <v>781688</v>
      </c>
    </row>
    <row r="35" spans="1:5" ht="33" x14ac:dyDescent="0.25">
      <c r="A35" s="1" t="s">
        <v>49</v>
      </c>
      <c r="B35" t="s">
        <v>1</v>
      </c>
      <c r="C35">
        <v>559</v>
      </c>
      <c r="D35" t="s">
        <v>2</v>
      </c>
      <c r="E35" s="2">
        <v>781129</v>
      </c>
    </row>
    <row r="36" spans="1:5" ht="33" x14ac:dyDescent="0.25">
      <c r="A36" s="1" t="s">
        <v>50</v>
      </c>
      <c r="B36" t="s">
        <v>5</v>
      </c>
      <c r="C36" t="s">
        <v>2</v>
      </c>
      <c r="D36" s="2">
        <v>1000000</v>
      </c>
      <c r="E36" s="2">
        <v>1781129</v>
      </c>
    </row>
    <row r="37" spans="1:5" ht="33" x14ac:dyDescent="0.25">
      <c r="A37" s="1" t="s">
        <v>51</v>
      </c>
      <c r="B37" t="s">
        <v>5</v>
      </c>
      <c r="C37" s="2">
        <v>193670</v>
      </c>
      <c r="D37" t="s">
        <v>2</v>
      </c>
      <c r="E37" s="2">
        <v>1587459</v>
      </c>
    </row>
    <row r="38" spans="1:5" ht="33" x14ac:dyDescent="0.25">
      <c r="A38" s="1" t="s">
        <v>51</v>
      </c>
      <c r="B38" t="s">
        <v>4</v>
      </c>
      <c r="C38" s="2">
        <v>9610</v>
      </c>
      <c r="D38" t="s">
        <v>2</v>
      </c>
      <c r="E38" s="2">
        <v>1577849</v>
      </c>
    </row>
    <row r="39" spans="1:5" ht="82.5" x14ac:dyDescent="0.25">
      <c r="A39" s="1" t="s">
        <v>52</v>
      </c>
      <c r="B39" s="1" t="s">
        <v>34</v>
      </c>
      <c r="C39" s="2">
        <v>2398</v>
      </c>
      <c r="D39" t="s">
        <v>2</v>
      </c>
      <c r="E39" s="2">
        <v>1575451</v>
      </c>
    </row>
    <row r="40" spans="1:5" ht="33" x14ac:dyDescent="0.25">
      <c r="A40" s="1" t="s">
        <v>52</v>
      </c>
      <c r="B40" t="s">
        <v>3</v>
      </c>
      <c r="C40" s="2">
        <v>138485</v>
      </c>
      <c r="D40" t="s">
        <v>2</v>
      </c>
      <c r="E40" s="2">
        <v>1436966</v>
      </c>
    </row>
    <row r="41" spans="1:5" ht="33" x14ac:dyDescent="0.25">
      <c r="A41" s="1" t="s">
        <v>52</v>
      </c>
      <c r="B41" t="s">
        <v>3</v>
      </c>
      <c r="C41" s="2">
        <v>26500</v>
      </c>
      <c r="D41" t="s">
        <v>2</v>
      </c>
      <c r="E41" s="2">
        <v>1410466</v>
      </c>
    </row>
    <row r="42" spans="1:5" ht="33" x14ac:dyDescent="0.25">
      <c r="A42" s="1" t="s">
        <v>52</v>
      </c>
      <c r="B42" t="s">
        <v>3</v>
      </c>
      <c r="C42" s="2">
        <v>15742</v>
      </c>
      <c r="D42" t="s">
        <v>2</v>
      </c>
      <c r="E42" s="2">
        <v>1394724</v>
      </c>
    </row>
    <row r="43" spans="1:5" ht="33" x14ac:dyDescent="0.25">
      <c r="A43" s="1" t="s">
        <v>52</v>
      </c>
      <c r="B43" t="s">
        <v>4</v>
      </c>
      <c r="C43" s="2">
        <v>25010</v>
      </c>
      <c r="D43" t="s">
        <v>2</v>
      </c>
      <c r="E43" s="2">
        <v>1369714</v>
      </c>
    </row>
    <row r="44" spans="1:5" ht="33" x14ac:dyDescent="0.25">
      <c r="A44" s="1" t="s">
        <v>52</v>
      </c>
      <c r="B44" t="s">
        <v>3</v>
      </c>
      <c r="C44" s="2">
        <v>16326</v>
      </c>
      <c r="D44" t="s">
        <v>2</v>
      </c>
      <c r="E44" s="2">
        <v>1353388</v>
      </c>
    </row>
    <row r="45" spans="1:5" ht="33" x14ac:dyDescent="0.25">
      <c r="A45" s="1" t="s">
        <v>53</v>
      </c>
      <c r="B45" t="s">
        <v>4</v>
      </c>
      <c r="C45" s="2">
        <v>8565</v>
      </c>
      <c r="D45" t="s">
        <v>2</v>
      </c>
      <c r="E45" s="2">
        <v>1344823</v>
      </c>
    </row>
    <row r="46" spans="1:5" ht="33" x14ac:dyDescent="0.25">
      <c r="A46" s="1" t="s">
        <v>54</v>
      </c>
      <c r="B46" t="s">
        <v>3</v>
      </c>
      <c r="C46" s="2">
        <v>556646</v>
      </c>
      <c r="D46" t="s">
        <v>2</v>
      </c>
      <c r="E46" s="2">
        <v>788177</v>
      </c>
    </row>
    <row r="47" spans="1:5" ht="33" x14ac:dyDescent="0.25">
      <c r="A47" s="1" t="s">
        <v>54</v>
      </c>
      <c r="B47" t="s">
        <v>3</v>
      </c>
      <c r="C47" s="2">
        <v>25175</v>
      </c>
      <c r="D47" t="s">
        <v>2</v>
      </c>
      <c r="E47" s="2">
        <v>763002</v>
      </c>
    </row>
    <row r="48" spans="1:5" ht="33" x14ac:dyDescent="0.25">
      <c r="A48" s="1" t="s">
        <v>54</v>
      </c>
      <c r="B48" t="s">
        <v>3</v>
      </c>
      <c r="C48" s="2">
        <v>12155</v>
      </c>
      <c r="D48" t="s">
        <v>2</v>
      </c>
      <c r="E48" s="2">
        <v>750847</v>
      </c>
    </row>
    <row r="49" spans="1:5" ht="33" x14ac:dyDescent="0.25">
      <c r="A49" s="1" t="s">
        <v>55</v>
      </c>
      <c r="B49" t="s">
        <v>3</v>
      </c>
      <c r="C49" s="2">
        <v>30000</v>
      </c>
      <c r="D49" t="s">
        <v>2</v>
      </c>
      <c r="E49" s="2">
        <v>720847</v>
      </c>
    </row>
    <row r="50" spans="1:5" ht="33" x14ac:dyDescent="0.25">
      <c r="A50" s="1" t="s">
        <v>56</v>
      </c>
      <c r="B50" t="s">
        <v>4</v>
      </c>
      <c r="C50" s="2">
        <v>4810</v>
      </c>
      <c r="D50" t="s">
        <v>2</v>
      </c>
      <c r="E50" s="2">
        <v>716037</v>
      </c>
    </row>
    <row r="51" spans="1:5" ht="82.5" x14ac:dyDescent="0.25">
      <c r="A51" s="1" t="s">
        <v>57</v>
      </c>
      <c r="B51" s="1" t="s">
        <v>34</v>
      </c>
      <c r="C51" s="2">
        <v>2398</v>
      </c>
      <c r="D51" t="s">
        <v>2</v>
      </c>
      <c r="E51" s="2">
        <v>713639</v>
      </c>
    </row>
    <row r="52" spans="1:5" ht="33" x14ac:dyDescent="0.25">
      <c r="A52" s="1" t="s">
        <v>58</v>
      </c>
      <c r="B52" t="s">
        <v>4</v>
      </c>
      <c r="C52" s="2">
        <v>25010</v>
      </c>
      <c r="D52" t="s">
        <v>2</v>
      </c>
      <c r="E52" s="2">
        <v>688629</v>
      </c>
    </row>
    <row r="53" spans="1:5" ht="33" x14ac:dyDescent="0.25">
      <c r="A53" s="1" t="s">
        <v>58</v>
      </c>
      <c r="B53" t="s">
        <v>3</v>
      </c>
      <c r="C53" s="2">
        <v>14944</v>
      </c>
      <c r="D53" t="s">
        <v>2</v>
      </c>
      <c r="E53" s="2">
        <v>673685</v>
      </c>
    </row>
    <row r="54" spans="1:5" ht="33" x14ac:dyDescent="0.25">
      <c r="A54" s="1" t="s">
        <v>58</v>
      </c>
      <c r="B54" t="s">
        <v>3</v>
      </c>
      <c r="C54" s="2">
        <v>4959</v>
      </c>
      <c r="D54" t="s">
        <v>2</v>
      </c>
      <c r="E54" s="2">
        <v>668726</v>
      </c>
    </row>
    <row r="55" spans="1:5" ht="49.5" x14ac:dyDescent="0.25">
      <c r="A55" s="1" t="s">
        <v>58</v>
      </c>
      <c r="B55" s="1" t="s">
        <v>36</v>
      </c>
      <c r="C55" s="2">
        <v>1325</v>
      </c>
      <c r="D55" t="s">
        <v>2</v>
      </c>
      <c r="E55" s="2">
        <v>667401</v>
      </c>
    </row>
    <row r="56" spans="1:5" x14ac:dyDescent="0.25">
      <c r="A56" s="13">
        <v>46167</v>
      </c>
      <c r="B56" t="s">
        <v>3</v>
      </c>
      <c r="C56" s="2"/>
      <c r="D56" s="2">
        <v>1000000</v>
      </c>
      <c r="E56" s="2">
        <v>1667401</v>
      </c>
    </row>
    <row r="57" spans="1:5" x14ac:dyDescent="0.25">
      <c r="A57" s="13">
        <v>46167</v>
      </c>
      <c r="B57" t="s">
        <v>3</v>
      </c>
      <c r="C57" s="14">
        <v>25175</v>
      </c>
      <c r="D57" s="14" t="s">
        <v>2</v>
      </c>
      <c r="E57" s="14">
        <v>1642226</v>
      </c>
    </row>
    <row r="58" spans="1:5" ht="33" x14ac:dyDescent="0.25">
      <c r="A58" s="13">
        <v>46167</v>
      </c>
      <c r="B58" s="1" t="s">
        <v>60</v>
      </c>
      <c r="C58" s="14">
        <v>559</v>
      </c>
      <c r="D58" s="14" t="s">
        <v>2</v>
      </c>
      <c r="E58" s="14">
        <v>1641667</v>
      </c>
    </row>
    <row r="59" spans="1:5" ht="33" x14ac:dyDescent="0.25">
      <c r="A59" s="13">
        <v>46167</v>
      </c>
      <c r="B59" s="1" t="s">
        <v>59</v>
      </c>
      <c r="C59" s="14">
        <v>500003</v>
      </c>
      <c r="D59" s="14" t="s">
        <v>2</v>
      </c>
      <c r="E59" s="14">
        <v>1141664</v>
      </c>
    </row>
  </sheetData>
  <sortState xmlns:xlrd2="http://schemas.microsoft.com/office/spreadsheetml/2017/richdata2" ref="A2:E55">
    <sortCondition ref="A4:A55"/>
  </sortState>
  <mergeCells count="1">
    <mergeCell ref="B2:B3"/>
  </mergeCells>
  <phoneticPr fontId="18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3"/>
  <sheetViews>
    <sheetView tabSelected="1" workbookViewId="0">
      <selection activeCell="L20" sqref="L20"/>
    </sheetView>
  </sheetViews>
  <sheetFormatPr defaultRowHeight="16.5" x14ac:dyDescent="0.25"/>
  <cols>
    <col min="3" max="3" width="17.125" customWidth="1"/>
  </cols>
  <sheetData>
    <row r="1" spans="1:6" x14ac:dyDescent="0.25">
      <c r="B1" s="9" t="s">
        <v>30</v>
      </c>
    </row>
    <row r="2" spans="1:6" x14ac:dyDescent="0.25">
      <c r="A2" s="6" t="s">
        <v>26</v>
      </c>
      <c r="B2" s="16" t="s">
        <v>6</v>
      </c>
      <c r="C2" s="16"/>
      <c r="D2" s="16"/>
      <c r="E2" s="12"/>
      <c r="F2" s="8">
        <v>612903</v>
      </c>
    </row>
    <row r="3" spans="1:6" x14ac:dyDescent="0.25">
      <c r="A3" s="10"/>
      <c r="B3" s="7" t="s">
        <v>29</v>
      </c>
      <c r="C3" s="8"/>
      <c r="D3" s="11" t="s">
        <v>31</v>
      </c>
      <c r="E3" s="11" t="s">
        <v>33</v>
      </c>
      <c r="F3" s="11" t="s">
        <v>32</v>
      </c>
    </row>
    <row r="4" spans="1:6" x14ac:dyDescent="0.2">
      <c r="A4" s="4" t="s">
        <v>7</v>
      </c>
      <c r="B4" s="4" t="s">
        <v>8</v>
      </c>
      <c r="C4" s="3"/>
      <c r="D4" s="5">
        <v>-1836</v>
      </c>
      <c r="E4" s="5">
        <v>0</v>
      </c>
      <c r="F4" s="5">
        <f>F2+D4+E4</f>
        <v>611067</v>
      </c>
    </row>
    <row r="5" spans="1:6" x14ac:dyDescent="0.2">
      <c r="A5" s="4" t="s">
        <v>9</v>
      </c>
      <c r="B5" s="4" t="s">
        <v>10</v>
      </c>
      <c r="C5" s="3"/>
      <c r="D5" s="5">
        <v>-2183</v>
      </c>
      <c r="E5" s="5">
        <v>0</v>
      </c>
      <c r="F5" s="5">
        <f>F4+D5+E5</f>
        <v>608884</v>
      </c>
    </row>
    <row r="6" spans="1:6" x14ac:dyDescent="0.2">
      <c r="A6" s="4" t="s">
        <v>11</v>
      </c>
      <c r="B6" s="4" t="s">
        <v>8</v>
      </c>
      <c r="C6" s="3"/>
      <c r="D6" s="5">
        <v>-1836</v>
      </c>
      <c r="E6" s="5">
        <v>0</v>
      </c>
      <c r="F6" s="5">
        <f t="shared" ref="F6:F13" si="0">F5+D6+E6</f>
        <v>607048</v>
      </c>
    </row>
    <row r="7" spans="1:6" x14ac:dyDescent="0.2">
      <c r="A7" s="4" t="s">
        <v>12</v>
      </c>
      <c r="B7" s="4" t="s">
        <v>13</v>
      </c>
      <c r="C7" s="3"/>
      <c r="D7" s="5">
        <v>-1596</v>
      </c>
      <c r="E7" s="5">
        <v>0</v>
      </c>
      <c r="F7" s="5">
        <f t="shared" si="0"/>
        <v>605452</v>
      </c>
    </row>
    <row r="8" spans="1:6" x14ac:dyDescent="0.2">
      <c r="A8" s="4" t="s">
        <v>14</v>
      </c>
      <c r="B8" s="4" t="s">
        <v>15</v>
      </c>
      <c r="C8" s="3"/>
      <c r="D8" s="5">
        <v>-10186</v>
      </c>
      <c r="E8" s="5">
        <v>0</v>
      </c>
      <c r="F8" s="5">
        <f t="shared" si="0"/>
        <v>595266</v>
      </c>
    </row>
    <row r="9" spans="1:6" x14ac:dyDescent="0.2">
      <c r="A9" s="4" t="s">
        <v>16</v>
      </c>
      <c r="B9" s="4" t="s">
        <v>17</v>
      </c>
      <c r="C9" s="3"/>
      <c r="D9" s="5">
        <v>-1836</v>
      </c>
      <c r="E9" s="5">
        <v>0</v>
      </c>
      <c r="F9" s="5">
        <f t="shared" si="0"/>
        <v>593430</v>
      </c>
    </row>
    <row r="10" spans="1:6" x14ac:dyDescent="0.2">
      <c r="A10" s="4" t="s">
        <v>18</v>
      </c>
      <c r="B10" s="4" t="s">
        <v>19</v>
      </c>
      <c r="C10" s="3"/>
      <c r="D10" s="5">
        <v>-2491</v>
      </c>
      <c r="E10" s="5">
        <v>0</v>
      </c>
      <c r="F10" s="5">
        <f t="shared" si="0"/>
        <v>590939</v>
      </c>
    </row>
    <row r="11" spans="1:6" x14ac:dyDescent="0.2">
      <c r="A11" s="4" t="s">
        <v>20</v>
      </c>
      <c r="B11" s="4" t="s">
        <v>21</v>
      </c>
      <c r="C11" s="3"/>
      <c r="D11" s="5">
        <v>-1836</v>
      </c>
      <c r="E11" s="5">
        <v>0</v>
      </c>
      <c r="F11" s="5">
        <f t="shared" si="0"/>
        <v>589103</v>
      </c>
    </row>
    <row r="12" spans="1:6" x14ac:dyDescent="0.2">
      <c r="A12" s="4" t="s">
        <v>22</v>
      </c>
      <c r="B12" s="4" t="s">
        <v>23</v>
      </c>
      <c r="C12" s="3"/>
      <c r="D12" s="5">
        <v>-1583</v>
      </c>
      <c r="E12" s="5">
        <v>0</v>
      </c>
      <c r="F12" s="5">
        <f t="shared" si="0"/>
        <v>587520</v>
      </c>
    </row>
    <row r="13" spans="1:6" x14ac:dyDescent="0.2">
      <c r="A13" s="4" t="s">
        <v>24</v>
      </c>
      <c r="B13" s="4" t="s">
        <v>25</v>
      </c>
      <c r="C13" s="3"/>
      <c r="D13" s="5">
        <v>-11464</v>
      </c>
      <c r="E13" s="5">
        <v>0</v>
      </c>
      <c r="F13" s="5">
        <f t="shared" si="0"/>
        <v>576056</v>
      </c>
    </row>
  </sheetData>
  <mergeCells count="1">
    <mergeCell ref="B2:D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華強-國泰世華敦南(20260529)</vt:lpstr>
      <vt:lpstr>華強-華南銀行敦和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bryan chen</cp:lastModifiedBy>
  <dcterms:created xsi:type="dcterms:W3CDTF">2026-05-08T03:05:27Z</dcterms:created>
  <dcterms:modified xsi:type="dcterms:W3CDTF">2026-06-02T11:23:14Z</dcterms:modified>
</cp:coreProperties>
</file>